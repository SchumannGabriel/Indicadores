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abriel.vieira\Desktop\Projeto0-main\"/>
    </mc:Choice>
  </mc:AlternateContent>
  <xr:revisionPtr revIDLastSave="0" documentId="13_ncr:1_{71F6CF1D-4131-4369-8D20-C99C2133D16D}" xr6:coauthVersionLast="47" xr6:coauthVersionMax="47" xr10:uidLastSave="{00000000-0000-0000-0000-000000000000}"/>
  <bookViews>
    <workbookView xWindow="0" yWindow="0" windowWidth="14400" windowHeight="15600" firstSheet="2" activeTab="3" xr2:uid="{00000000-000D-0000-FFFF-FFFF00000000}"/>
  </bookViews>
  <sheets>
    <sheet name="indice_devolucoes" sheetId="1" r:id="rId1"/>
    <sheet name="on-time-delivery OTD" sheetId="2" r:id="rId2"/>
    <sheet name="custo_funcionario" sheetId="3" r:id="rId3"/>
    <sheet name="roda_por_funcionario" sheetId="4" r:id="rId4"/>
    <sheet name="nc_interno" sheetId="5" r:id="rId5"/>
    <sheet name="absenteism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2" i="6"/>
  <c r="D3" i="5" l="1"/>
  <c r="D4" i="5"/>
  <c r="D5" i="5"/>
  <c r="D6" i="5"/>
  <c r="D7" i="5"/>
  <c r="D8" i="5"/>
  <c r="D9" i="5"/>
  <c r="D10" i="5"/>
  <c r="D11" i="5"/>
  <c r="D12" i="5"/>
  <c r="D13" i="5"/>
  <c r="D2" i="5"/>
  <c r="D3" i="4"/>
  <c r="D4" i="4"/>
  <c r="D5" i="4"/>
  <c r="D6" i="4"/>
  <c r="D7" i="4"/>
  <c r="D8" i="4"/>
  <c r="D9" i="4"/>
  <c r="D10" i="4"/>
  <c r="D11" i="4"/>
  <c r="D12" i="4"/>
  <c r="D13" i="4"/>
  <c r="D2" i="4"/>
  <c r="D3" i="3"/>
  <c r="D4" i="3"/>
  <c r="D5" i="3"/>
  <c r="D6" i="3"/>
  <c r="D7" i="3"/>
  <c r="D8" i="3"/>
  <c r="D9" i="3"/>
  <c r="D10" i="3"/>
  <c r="D11" i="3"/>
  <c r="D12" i="3"/>
  <c r="D13" i="3"/>
  <c r="D2" i="3"/>
</calcChain>
</file>

<file path=xl/sharedStrings.xml><?xml version="1.0" encoding="utf-8"?>
<sst xmlns="http://schemas.openxmlformats.org/spreadsheetml/2006/main" count="111" uniqueCount="43">
  <si>
    <t>Mês</t>
  </si>
  <si>
    <t>rodas grandes devolvidas</t>
  </si>
  <si>
    <t>rodas grandes entregues</t>
  </si>
  <si>
    <t>rodas pequenas devolvidas</t>
  </si>
  <si>
    <t>rodas pequenas entregues</t>
  </si>
  <si>
    <t>rodas medias devolvidas</t>
  </si>
  <si>
    <t>rodas medias entregues</t>
  </si>
  <si>
    <t>roda pequena bipartida</t>
  </si>
  <si>
    <t>tiras de anel</t>
  </si>
  <si>
    <t>kits</t>
  </si>
  <si>
    <t>bacias</t>
  </si>
  <si>
    <t>flanges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</si>
  <si>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</si>
  <si>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</si>
  <si>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</si>
  <si>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</si>
  <si>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</si>
  <si>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</si>
  <si>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</si>
  <si>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</si>
  <si>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</si>
  <si>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</si>
  <si>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</si>
  <si>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</si>
  <si>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quantidade entregue no periodo</t>
  </si>
  <si>
    <t>quantidade entregue em dia</t>
  </si>
  <si>
    <t>Mes</t>
  </si>
  <si>
    <t>total folha</t>
  </si>
  <si>
    <t>Meta</t>
  </si>
  <si>
    <t>total roda faturada</t>
  </si>
  <si>
    <t>N de funcionarios</t>
  </si>
  <si>
    <t>produtividade media por funcionario</t>
  </si>
  <si>
    <t>meta</t>
  </si>
  <si>
    <t>indice devolucoes</t>
  </si>
  <si>
    <t>otd</t>
  </si>
  <si>
    <t>total rodas produzidas</t>
  </si>
  <si>
    <t>nc interno</t>
  </si>
  <si>
    <t>% retrabalho</t>
  </si>
  <si>
    <t>total faturamento</t>
  </si>
  <si>
    <t>Custo Funcionario</t>
  </si>
  <si>
    <t>total horas falta</t>
  </si>
  <si>
    <t>total horas trabalhadas</t>
  </si>
  <si>
    <t>absenteismo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</si>
</sst>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9" fontId="0" fillId="0" borderId="0" xfId="1" applyFont="1"/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selection activeCell="P1" activeCellId="1" sqref="O1:O1048576 P1:P1048576"/>
    </sheetView>
  </sheetViews>
  <sheetFormatPr defaultRowHeight="15" x14ac:dyDescent="0.25"/>
  <cols>
    <col min="2" max="2" width="23.7109375" bestFit="1" customWidth="1"/>
    <col min="3" max="3" width="23.140625" bestFit="1" customWidth="1"/>
    <col min="4" max="4" width="25.5703125" bestFit="1" customWidth="1"/>
    <col min="5" max="5" width="24.85546875" bestFit="1" customWidth="1"/>
    <col min="6" max="6" width="23.140625" bestFit="1" customWidth="1"/>
    <col min="7" max="7" width="22.5703125" bestFit="1" customWidth="1"/>
    <col min="8" max="8" width="22.140625" bestFit="1" customWidth="1"/>
    <col min="9" max="9" width="11.85546875" bestFit="1" customWidth="1"/>
    <col min="13" max="13" width="17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33</v>
      </c>
      <c r="N1" t="s">
        <v>32</v>
      </c>
    </row>
    <row r="2" spans="1:14" x14ac:dyDescent="0.25">
      <c r="A2" t="s">
        <v>12</v>
      </c>
      <c r="B2">
        <v>0</v>
      </c>
      <c r="C2">
        <v>380</v>
      </c>
      <c r="D2">
        <v>0</v>
      </c>
      <c r="E2">
        <v>5131</v>
      </c>
      <c r="F2">
        <v>0</v>
      </c>
      <c r="G2">
        <v>992</v>
      </c>
      <c r="H2">
        <v>47</v>
      </c>
      <c r="I2">
        <v>310</v>
      </c>
      <c r="J2">
        <v>0</v>
      </c>
      <c r="K2">
        <v>30</v>
      </c>
      <c r="L2">
        <v>0</v>
      </c>
      <c r="N2" s="4">
        <v>4.0000000000000001E-3</v>
      </c>
    </row>
    <row r="3" spans="1:14" x14ac:dyDescent="0.25">
      <c r="A3" t="s">
        <v>13</v>
      </c>
      <c r="B3">
        <v>2</v>
      </c>
      <c r="C3">
        <v>316</v>
      </c>
      <c r="D3">
        <v>6</v>
      </c>
      <c r="E3">
        <v>6876</v>
      </c>
      <c r="F3">
        <v>4</v>
      </c>
      <c r="G3">
        <v>1539</v>
      </c>
      <c r="H3">
        <v>20</v>
      </c>
      <c r="I3">
        <v>620</v>
      </c>
      <c r="J3">
        <v>0</v>
      </c>
      <c r="K3">
        <v>16</v>
      </c>
      <c r="L3">
        <v>0</v>
      </c>
      <c r="N3" s="4">
        <v>4.0000000000000001E-3</v>
      </c>
    </row>
    <row r="4" spans="1:14" x14ac:dyDescent="0.25">
      <c r="A4" t="s">
        <v>14</v>
      </c>
      <c r="N4" s="4">
        <v>4.0000000000000001E-3</v>
      </c>
    </row>
    <row r="5" spans="1:14" x14ac:dyDescent="0.25">
      <c r="A5" t="s">
        <v>15</v>
      </c>
      <c r="N5" s="4">
        <v>4.0000000000000001E-3</v>
      </c>
    </row>
    <row r="6" spans="1:14" x14ac:dyDescent="0.25">
      <c r="A6" t="s">
        <v>16</v>
      </c>
      <c r="N6" s="4">
        <v>4.0000000000000001E-3</v>
      </c>
    </row>
    <row r="7" spans="1:14" x14ac:dyDescent="0.25">
      <c r="A7" t="s">
        <v>17</v>
      </c>
      <c r="N7" s="4">
        <v>4.0000000000000001E-3</v>
      </c>
    </row>
    <row r="8" spans="1:14" x14ac:dyDescent="0.25">
      <c r="A8" t="s">
        <v>18</v>
      </c>
      <c r="N8" s="4">
        <v>4.0000000000000001E-3</v>
      </c>
    </row>
    <row r="9" spans="1:14" x14ac:dyDescent="0.25">
      <c r="A9" t="s">
        <v>19</v>
      </c>
      <c r="N9" s="4">
        <v>4.0000000000000001E-3</v>
      </c>
    </row>
    <row r="10" spans="1:14" x14ac:dyDescent="0.25">
      <c r="A10" t="s">
        <v>20</v>
      </c>
      <c r="N10" s="4">
        <v>4.0000000000000001E-3</v>
      </c>
    </row>
    <row r="11" spans="1:14" x14ac:dyDescent="0.25">
      <c r="A11" t="s">
        <v>21</v>
      </c>
      <c r="N11" s="4">
        <v>4.0000000000000001E-3</v>
      </c>
    </row>
    <row r="12" spans="1:14" x14ac:dyDescent="0.25">
      <c r="A12" t="s">
        <v>22</v>
      </c>
      <c r="N12" s="4">
        <v>4.0000000000000001E-3</v>
      </c>
    </row>
    <row r="13" spans="1:14" x14ac:dyDescent="0.25">
      <c r="A13" t="s">
        <v>23</v>
      </c>
      <c r="N13" s="4">
        <v>4.0000000000000001E-3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BB7D-AD3D-4DC2-8344-B23B4F99894D}">
  <dimension ref="A1:E13"/>
  <sheetViews>
    <sheetView workbookViewId="0">
      <selection activeCell="E2" sqref="E2:E13"/>
    </sheetView>
  </sheetViews>
  <sheetFormatPr defaultRowHeight="15" x14ac:dyDescent="0.25"/>
  <cols>
    <col min="1" max="1" width="10.140625" bestFit="1" customWidth="1"/>
    <col min="2" max="2" width="30.5703125" bestFit="1" customWidth="1"/>
    <col min="3" max="3" width="26.7109375" bestFit="1" customWidth="1"/>
  </cols>
  <sheetData>
    <row r="1" spans="1:5" x14ac:dyDescent="0.25">
      <c r="A1" t="s">
        <v>0</v>
      </c>
      <c r="B1" t="s">
        <v>24</v>
      </c>
      <c r="C1" t="s">
        <v>25</v>
      </c>
      <c r="D1" t="s">
        <v>34</v>
      </c>
      <c r="E1" t="s">
        <v>32</v>
      </c>
    </row>
    <row r="2" spans="1:5" x14ac:dyDescent="0.25">
      <c r="A2" t="s">
        <v>12</v>
      </c>
      <c r="B2">
        <v>6890</v>
      </c>
      <c r="C2">
        <v>4344</v>
      </c>
      <c r="E2" s="4">
        <v>0.95</v>
      </c>
    </row>
    <row r="3" spans="1:5" x14ac:dyDescent="0.25">
      <c r="A3" t="s">
        <v>13</v>
      </c>
      <c r="B3">
        <v>9387</v>
      </c>
      <c r="C3">
        <v>5981</v>
      </c>
      <c r="E3" s="4">
        <v>0.95</v>
      </c>
    </row>
    <row r="4" spans="1:5" x14ac:dyDescent="0.25">
      <c r="A4" t="s">
        <v>14</v>
      </c>
      <c r="E4" s="4">
        <v>0.95</v>
      </c>
    </row>
    <row r="5" spans="1:5" x14ac:dyDescent="0.25">
      <c r="A5" t="s">
        <v>15</v>
      </c>
      <c r="E5" s="4">
        <v>0.95</v>
      </c>
    </row>
    <row r="6" spans="1:5" x14ac:dyDescent="0.25">
      <c r="A6" t="s">
        <v>16</v>
      </c>
      <c r="E6" s="4">
        <v>0.95</v>
      </c>
    </row>
    <row r="7" spans="1:5" x14ac:dyDescent="0.25">
      <c r="A7" t="s">
        <v>17</v>
      </c>
      <c r="E7" s="4">
        <v>0.95</v>
      </c>
    </row>
    <row r="8" spans="1:5" x14ac:dyDescent="0.25">
      <c r="A8" t="s">
        <v>18</v>
      </c>
      <c r="E8" s="4">
        <v>0.95</v>
      </c>
    </row>
    <row r="9" spans="1:5" x14ac:dyDescent="0.25">
      <c r="A9" t="s">
        <v>19</v>
      </c>
      <c r="E9" s="4">
        <v>0.95</v>
      </c>
    </row>
    <row r="10" spans="1:5" x14ac:dyDescent="0.25">
      <c r="A10" t="s">
        <v>20</v>
      </c>
      <c r="E10" s="4">
        <v>0.95</v>
      </c>
    </row>
    <row r="11" spans="1:5" x14ac:dyDescent="0.25">
      <c r="A11" t="s">
        <v>21</v>
      </c>
      <c r="E11" s="4">
        <v>0.95</v>
      </c>
    </row>
    <row r="12" spans="1:5" x14ac:dyDescent="0.25">
      <c r="A12" t="s">
        <v>22</v>
      </c>
      <c r="E12" s="4">
        <v>0.95</v>
      </c>
    </row>
    <row r="13" spans="1:5" x14ac:dyDescent="0.25">
      <c r="A13" t="s">
        <v>23</v>
      </c>
      <c r="E13" s="4">
        <v>0.95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28A0-5FA0-4BAD-B469-D69C8AE5C350}">
  <dimension ref="A1:E13"/>
  <sheetViews>
    <sheetView workbookViewId="0">
      <selection activeCell="G3" sqref="G3"/>
    </sheetView>
  </sheetViews>
  <sheetFormatPr defaultRowHeight="15" x14ac:dyDescent="0.25"/>
  <cols>
    <col min="1" max="1" width="10.140625" bestFit="1" customWidth="1"/>
    <col min="2" max="2" width="14.28515625" style="1" bestFit="1" customWidth="1"/>
    <col min="3" max="3" width="16.85546875" bestFit="1" customWidth="1"/>
    <col min="4" max="4" width="18.5703125" style="1" bestFit="1" customWidth="1"/>
    <col min="5" max="5" width="7" style="1" bestFit="1" customWidth="1"/>
  </cols>
  <sheetData>
    <row r="1" spans="1:5" x14ac:dyDescent="0.25">
      <c r="A1" t="s">
        <v>26</v>
      </c>
      <c r="B1" s="1" t="s">
        <v>27</v>
      </c>
      <c r="C1" t="s">
        <v>38</v>
      </c>
      <c r="D1" s="1" t="s">
        <v>39</v>
      </c>
      <c r="E1" s="1" t="s">
        <v>28</v>
      </c>
    </row>
    <row r="2" spans="1:5" x14ac:dyDescent="0.25">
      <c r="A2" t="s">
        <v>12</v>
      </c>
      <c r="B2" s="1">
        <v>599376.19999999995</v>
      </c>
      <c r="C2" s="1">
        <v>2573529.98</v>
      </c>
      <c r="D2" s="4">
        <f>B2/C2</f>
        <v>0.23290041486130267</v>
      </c>
      <c r="E2" s="3">
        <v>0.15</v>
      </c>
    </row>
    <row r="3" spans="1:5" x14ac:dyDescent="0.25">
      <c r="A3" t="s">
        <v>13</v>
      </c>
      <c r="B3" s="1">
        <v>556219.57999999996</v>
      </c>
      <c r="C3" s="1">
        <v>2926169.24</v>
      </c>
      <c r="D3" s="4">
        <f t="shared" ref="D3:D13" si="0">B3/C3</f>
        <v>0.19008455573813629</v>
      </c>
      <c r="E3" s="3">
        <v>0.15</v>
      </c>
    </row>
    <row r="4" spans="1:5" x14ac:dyDescent="0.25">
      <c r="A4" t="s">
        <v>14</v>
      </c>
      <c r="C4" s="1"/>
      <c r="D4" s="4" t="e">
        <f t="shared" si="0"/>
        <v>#DIV/0!</v>
      </c>
      <c r="E4" s="3">
        <v>0.15</v>
      </c>
    </row>
    <row r="5" spans="1:5" x14ac:dyDescent="0.25">
      <c r="A5" t="s">
        <v>15</v>
      </c>
      <c r="C5" s="1"/>
      <c r="D5" s="4" t="e">
        <f t="shared" si="0"/>
        <v>#DIV/0!</v>
      </c>
      <c r="E5" s="3">
        <v>0.15</v>
      </c>
    </row>
    <row r="6" spans="1:5" x14ac:dyDescent="0.25">
      <c r="A6" t="s">
        <v>16</v>
      </c>
      <c r="C6" s="1"/>
      <c r="D6" s="4" t="e">
        <f t="shared" si="0"/>
        <v>#DIV/0!</v>
      </c>
      <c r="E6" s="3">
        <v>0.15</v>
      </c>
    </row>
    <row r="7" spans="1:5" x14ac:dyDescent="0.25">
      <c r="A7" t="s">
        <v>17</v>
      </c>
      <c r="C7" s="1"/>
      <c r="D7" s="4" t="e">
        <f t="shared" si="0"/>
        <v>#DIV/0!</v>
      </c>
      <c r="E7" s="3">
        <v>0.15</v>
      </c>
    </row>
    <row r="8" spans="1:5" x14ac:dyDescent="0.25">
      <c r="A8" t="s">
        <v>18</v>
      </c>
      <c r="C8" s="1"/>
      <c r="D8" s="4" t="e">
        <f t="shared" si="0"/>
        <v>#DIV/0!</v>
      </c>
      <c r="E8" s="3">
        <v>0.15</v>
      </c>
    </row>
    <row r="9" spans="1:5" x14ac:dyDescent="0.25">
      <c r="A9" t="s">
        <v>19</v>
      </c>
      <c r="C9" s="1"/>
      <c r="D9" s="4" t="e">
        <f t="shared" si="0"/>
        <v>#DIV/0!</v>
      </c>
      <c r="E9" s="3">
        <v>0.15</v>
      </c>
    </row>
    <row r="10" spans="1:5" x14ac:dyDescent="0.25">
      <c r="A10" t="s">
        <v>20</v>
      </c>
      <c r="C10" s="1"/>
      <c r="D10" s="4" t="e">
        <f t="shared" si="0"/>
        <v>#DIV/0!</v>
      </c>
      <c r="E10" s="3">
        <v>0.15</v>
      </c>
    </row>
    <row r="11" spans="1:5" x14ac:dyDescent="0.25">
      <c r="A11" t="s">
        <v>21</v>
      </c>
      <c r="C11" s="1"/>
      <c r="D11" s="4" t="e">
        <f t="shared" si="0"/>
        <v>#DIV/0!</v>
      </c>
      <c r="E11" s="3">
        <v>0.15</v>
      </c>
    </row>
    <row r="12" spans="1:5" x14ac:dyDescent="0.25">
      <c r="A12" t="s">
        <v>22</v>
      </c>
      <c r="C12" s="1"/>
      <c r="D12" s="4" t="e">
        <f t="shared" si="0"/>
        <v>#DIV/0!</v>
      </c>
      <c r="E12" s="3">
        <v>0.15</v>
      </c>
    </row>
    <row r="13" spans="1:5" x14ac:dyDescent="0.25">
      <c r="A13" t="s">
        <v>23</v>
      </c>
      <c r="C13" s="1"/>
      <c r="D13" s="4" t="e">
        <f t="shared" si="0"/>
        <v>#DIV/0!</v>
      </c>
      <c r="E13" s="3">
        <v>0.15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3BC5-CCAD-4687-A7CE-9E9B15D76084}">
  <dimension ref="A1:E13"/>
  <sheetViews>
    <sheetView tabSelected="1" workbookViewId="0">
      <selection activeCell="B4" sqref="B4"/>
    </sheetView>
  </sheetViews>
  <sheetFormatPr defaultRowHeight="15" x14ac:dyDescent="0.25"/>
  <cols>
    <col min="1" max="1" width="10.140625" bestFit="1" customWidth="1"/>
    <col min="2" max="2" width="17.7109375" bestFit="1" customWidth="1"/>
    <col min="3" max="3" width="16.7109375" bestFit="1" customWidth="1"/>
    <col min="4" max="4" width="34.42578125" bestFit="1" customWidth="1"/>
  </cols>
  <sheetData>
    <row r="1" spans="1:5" x14ac:dyDescent="0.25">
      <c r="A1" t="s">
        <v>0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12</v>
      </c>
      <c r="B2">
        <v>6890</v>
      </c>
      <c r="C2">
        <v>85</v>
      </c>
      <c r="D2" s="2">
        <f>B2/C2</f>
        <v>81.058823529411768</v>
      </c>
      <c r="E2">
        <v>100</v>
      </c>
    </row>
    <row r="3" spans="1:5" x14ac:dyDescent="0.25">
      <c r="A3" t="s">
        <v>13</v>
      </c>
      <c r="B3">
        <v>9387</v>
      </c>
      <c r="C3">
        <v>84</v>
      </c>
      <c r="D3" s="2">
        <f t="shared" ref="D3:D13" si="0">B3/C3</f>
        <v>111.75</v>
      </c>
      <c r="E3">
        <v>100</v>
      </c>
    </row>
    <row r="4" spans="1:5" x14ac:dyDescent="0.25">
      <c r="A4" t="s">
        <v>14</v>
      </c>
      <c r="D4" s="2" t="e">
        <f t="shared" si="0"/>
        <v>#DIV/0!</v>
      </c>
      <c r="E4">
        <v>100</v>
      </c>
    </row>
    <row r="5" spans="1:5" x14ac:dyDescent="0.25">
      <c r="A5" t="s">
        <v>15</v>
      </c>
      <c r="D5" s="2" t="e">
        <f t="shared" si="0"/>
        <v>#DIV/0!</v>
      </c>
      <c r="E5">
        <v>100</v>
      </c>
    </row>
    <row r="6" spans="1:5" x14ac:dyDescent="0.25">
      <c r="A6" t="s">
        <v>16</v>
      </c>
      <c r="D6" s="2" t="e">
        <f t="shared" si="0"/>
        <v>#DIV/0!</v>
      </c>
      <c r="E6">
        <v>100</v>
      </c>
    </row>
    <row r="7" spans="1:5" x14ac:dyDescent="0.25">
      <c r="A7" t="s">
        <v>17</v>
      </c>
      <c r="D7" s="2" t="e">
        <f t="shared" si="0"/>
        <v>#DIV/0!</v>
      </c>
      <c r="E7">
        <v>100</v>
      </c>
    </row>
    <row r="8" spans="1:5" x14ac:dyDescent="0.25">
      <c r="A8" t="s">
        <v>18</v>
      </c>
      <c r="D8" s="2" t="e">
        <f t="shared" si="0"/>
        <v>#DIV/0!</v>
      </c>
      <c r="E8">
        <v>100</v>
      </c>
    </row>
    <row r="9" spans="1:5" x14ac:dyDescent="0.25">
      <c r="A9" t="s">
        <v>19</v>
      </c>
      <c r="D9" s="2" t="e">
        <f t="shared" si="0"/>
        <v>#DIV/0!</v>
      </c>
      <c r="E9">
        <v>100</v>
      </c>
    </row>
    <row r="10" spans="1:5" x14ac:dyDescent="0.25">
      <c r="A10" t="s">
        <v>20</v>
      </c>
      <c r="D10" s="2" t="e">
        <f t="shared" si="0"/>
        <v>#DIV/0!</v>
      </c>
      <c r="E10">
        <v>100</v>
      </c>
    </row>
    <row r="11" spans="1:5" x14ac:dyDescent="0.25">
      <c r="A11" t="s">
        <v>21</v>
      </c>
      <c r="D11" s="2" t="e">
        <f t="shared" si="0"/>
        <v>#DIV/0!</v>
      </c>
      <c r="E11">
        <v>100</v>
      </c>
    </row>
    <row r="12" spans="1:5" x14ac:dyDescent="0.25">
      <c r="A12" t="s">
        <v>22</v>
      </c>
      <c r="D12" s="2" t="e">
        <f t="shared" si="0"/>
        <v>#DIV/0!</v>
      </c>
      <c r="E12">
        <v>100</v>
      </c>
    </row>
    <row r="13" spans="1:5" x14ac:dyDescent="0.25">
      <c r="A13" t="s">
        <v>23</v>
      </c>
      <c r="D13" s="2" t="e">
        <f t="shared" si="0"/>
        <v>#DIV/0!</v>
      </c>
      <c r="E13">
        <v>100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1626-3BCF-4147-A6B1-53A6F0A9A2F7}">
  <dimension ref="A1:E13"/>
  <sheetViews>
    <sheetView workbookViewId="0">
      <selection activeCell="A2" sqref="A2:A13"/>
    </sheetView>
  </sheetViews>
  <sheetFormatPr defaultRowHeight="15" x14ac:dyDescent="0.25"/>
  <cols>
    <col min="1" max="1" width="10.140625" bestFit="1" customWidth="1"/>
    <col min="2" max="2" width="20.85546875" bestFit="1" customWidth="1"/>
    <col min="3" max="3" width="10" bestFit="1" customWidth="1"/>
    <col min="4" max="4" width="12.28515625" style="3" bestFit="1" customWidth="1"/>
    <col min="5" max="5" width="9.140625" style="3"/>
  </cols>
  <sheetData>
    <row r="1" spans="1:5" x14ac:dyDescent="0.25">
      <c r="A1" t="s">
        <v>0</v>
      </c>
      <c r="B1" t="s">
        <v>35</v>
      </c>
      <c r="C1" t="s">
        <v>36</v>
      </c>
      <c r="D1" s="3" t="s">
        <v>37</v>
      </c>
      <c r="E1" s="3" t="s">
        <v>32</v>
      </c>
    </row>
    <row r="2" spans="1:5" x14ac:dyDescent="0.25">
      <c r="A2" t="s">
        <v>12</v>
      </c>
      <c r="B2">
        <v>6890</v>
      </c>
      <c r="C2">
        <v>125</v>
      </c>
      <c r="D2" s="3">
        <f>C2/B2</f>
        <v>1.8142235123367198E-2</v>
      </c>
      <c r="E2" s="3">
        <v>0.05</v>
      </c>
    </row>
    <row r="3" spans="1:5" x14ac:dyDescent="0.25">
      <c r="A3" t="s">
        <v>13</v>
      </c>
      <c r="B3">
        <v>9387</v>
      </c>
      <c r="C3">
        <v>595</v>
      </c>
      <c r="D3" s="3">
        <f t="shared" ref="D3:D13" si="0">C3/B3</f>
        <v>6.3385533184190906E-2</v>
      </c>
      <c r="E3" s="3">
        <v>0.05</v>
      </c>
    </row>
    <row r="4" spans="1:5" x14ac:dyDescent="0.25">
      <c r="A4" t="s">
        <v>14</v>
      </c>
      <c r="D4" s="3" t="e">
        <f t="shared" si="0"/>
        <v>#DIV/0!</v>
      </c>
      <c r="E4" s="3">
        <v>0.04</v>
      </c>
    </row>
    <row r="5" spans="1:5" x14ac:dyDescent="0.25">
      <c r="A5" t="s">
        <v>15</v>
      </c>
      <c r="D5" s="3" t="e">
        <f t="shared" si="0"/>
        <v>#DIV/0!</v>
      </c>
      <c r="E5" s="3">
        <v>0.04</v>
      </c>
    </row>
    <row r="6" spans="1:5" x14ac:dyDescent="0.25">
      <c r="A6" t="s">
        <v>16</v>
      </c>
      <c r="D6" s="3" t="e">
        <f t="shared" si="0"/>
        <v>#DIV/0!</v>
      </c>
      <c r="E6" s="3">
        <v>0.04</v>
      </c>
    </row>
    <row r="7" spans="1:5" x14ac:dyDescent="0.25">
      <c r="A7" t="s">
        <v>17</v>
      </c>
      <c r="D7" s="3" t="e">
        <f t="shared" si="0"/>
        <v>#DIV/0!</v>
      </c>
      <c r="E7" s="3">
        <v>0.03</v>
      </c>
    </row>
    <row r="8" spans="1:5" x14ac:dyDescent="0.25">
      <c r="A8" t="s">
        <v>18</v>
      </c>
      <c r="D8" s="3" t="e">
        <f t="shared" si="0"/>
        <v>#DIV/0!</v>
      </c>
      <c r="E8" s="3">
        <v>0.03</v>
      </c>
    </row>
    <row r="9" spans="1:5" x14ac:dyDescent="0.25">
      <c r="A9" t="s">
        <v>19</v>
      </c>
      <c r="D9" s="3" t="e">
        <f t="shared" si="0"/>
        <v>#DIV/0!</v>
      </c>
      <c r="E9" s="3">
        <v>0.03</v>
      </c>
    </row>
    <row r="10" spans="1:5" x14ac:dyDescent="0.25">
      <c r="A10" t="s">
        <v>20</v>
      </c>
      <c r="D10" s="3" t="e">
        <f t="shared" si="0"/>
        <v>#DIV/0!</v>
      </c>
      <c r="E10" s="3">
        <v>0.03</v>
      </c>
    </row>
    <row r="11" spans="1:5" x14ac:dyDescent="0.25">
      <c r="A11" t="s">
        <v>21</v>
      </c>
      <c r="D11" s="3" t="e">
        <f t="shared" si="0"/>
        <v>#DIV/0!</v>
      </c>
      <c r="E11" s="3">
        <v>0.02</v>
      </c>
    </row>
    <row r="12" spans="1:5" x14ac:dyDescent="0.25">
      <c r="A12" t="s">
        <v>22</v>
      </c>
      <c r="D12" s="3" t="e">
        <f t="shared" si="0"/>
        <v>#DIV/0!</v>
      </c>
      <c r="E12" s="3">
        <v>0.02</v>
      </c>
    </row>
    <row r="13" spans="1:5" x14ac:dyDescent="0.25">
      <c r="A13" t="s">
        <v>23</v>
      </c>
      <c r="D13" s="3" t="e">
        <f t="shared" si="0"/>
        <v>#DIV/0!</v>
      </c>
      <c r="E13" s="3">
        <v>0.02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17E1-F727-4A5E-A8D3-D5F36BA0CE06}">
  <dimension ref="A1:E13"/>
  <sheetViews>
    <sheetView workbookViewId="0">
      <selection activeCell="A2" sqref="A2:A13"/>
    </sheetView>
  </sheetViews>
  <sheetFormatPr defaultRowHeight="15" x14ac:dyDescent="0.25"/>
  <sheetData>
    <row r="1" spans="1:5" x14ac:dyDescent="0.25">
      <c r="A1" t="s">
        <v>0</v>
      </c>
      <c r="B1" t="s">
        <v>40</v>
      </c>
      <c r="C1" t="s">
        <v>41</v>
      </c>
      <c r="D1" t="s">
        <v>42</v>
      </c>
      <c r="E1" t="s">
        <v>32</v>
      </c>
    </row>
    <row r="2" spans="1:5" x14ac:dyDescent="0.25">
      <c r="A2" t="s">
        <v>12</v>
      </c>
      <c r="B2" s="5">
        <v>1030.27</v>
      </c>
      <c r="C2" s="2">
        <v>12475</v>
      </c>
      <c r="D2" s="3">
        <f>B2/C2</f>
        <v>8.2586773547094192E-2</v>
      </c>
      <c r="E2" s="3">
        <v>0.05</v>
      </c>
    </row>
    <row r="3" spans="1:5" x14ac:dyDescent="0.25">
      <c r="A3" t="s">
        <v>13</v>
      </c>
      <c r="B3" s="5">
        <v>938.65</v>
      </c>
      <c r="C3" s="2">
        <v>14753</v>
      </c>
      <c r="D3" s="3">
        <f>B3/C3</f>
        <v>6.362434759032061E-2</v>
      </c>
      <c r="E3" s="3">
        <v>0.05</v>
      </c>
    </row>
    <row r="4" spans="1:5" x14ac:dyDescent="0.25">
      <c r="A4" t="s">
        <v>14</v>
      </c>
      <c r="B4" s="5"/>
      <c r="C4" s="5"/>
      <c r="D4" s="3">
        <v>0</v>
      </c>
      <c r="E4" s="3">
        <v>0.05</v>
      </c>
    </row>
    <row r="5" spans="1:5" x14ac:dyDescent="0.25">
      <c r="A5" t="s">
        <v>15</v>
      </c>
      <c r="B5" s="5"/>
      <c r="C5" s="5"/>
      <c r="D5" s="3">
        <v>0</v>
      </c>
      <c r="E5" s="3">
        <v>0.05</v>
      </c>
    </row>
    <row r="6" spans="1:5" x14ac:dyDescent="0.25">
      <c r="A6" t="s">
        <v>16</v>
      </c>
      <c r="B6" s="5"/>
      <c r="C6" s="5"/>
      <c r="D6" s="3">
        <v>0</v>
      </c>
      <c r="E6" s="3">
        <v>0.05</v>
      </c>
    </row>
    <row r="7" spans="1:5" x14ac:dyDescent="0.25">
      <c r="A7" t="s">
        <v>17</v>
      </c>
      <c r="B7" s="5"/>
      <c r="C7" s="5"/>
      <c r="D7" s="3">
        <v>0</v>
      </c>
      <c r="E7" s="3">
        <v>0.05</v>
      </c>
    </row>
    <row r="8" spans="1:5" x14ac:dyDescent="0.25">
      <c r="A8" t="s">
        <v>18</v>
      </c>
      <c r="B8" s="5"/>
      <c r="C8" s="5"/>
      <c r="D8" s="3">
        <v>0</v>
      </c>
      <c r="E8" s="3">
        <v>0.05</v>
      </c>
    </row>
    <row r="9" spans="1:5" x14ac:dyDescent="0.25">
      <c r="A9" t="s">
        <v>19</v>
      </c>
      <c r="B9" s="5"/>
      <c r="C9" s="5"/>
      <c r="D9" s="3">
        <v>0</v>
      </c>
      <c r="E9" s="3">
        <v>0.05</v>
      </c>
    </row>
    <row r="10" spans="1:5" x14ac:dyDescent="0.25">
      <c r="A10" t="s">
        <v>20</v>
      </c>
      <c r="B10" s="5"/>
      <c r="C10" s="5"/>
      <c r="D10" s="3">
        <v>0</v>
      </c>
      <c r="E10" s="3">
        <v>0.05</v>
      </c>
    </row>
    <row r="11" spans="1:5" x14ac:dyDescent="0.25">
      <c r="A11" t="s">
        <v>21</v>
      </c>
      <c r="B11" s="5"/>
      <c r="C11" s="5"/>
      <c r="D11" s="3">
        <v>0</v>
      </c>
      <c r="E11" s="3">
        <v>0.05</v>
      </c>
    </row>
    <row r="12" spans="1:5" x14ac:dyDescent="0.25">
      <c r="A12" t="s">
        <v>22</v>
      </c>
      <c r="B12" s="5"/>
      <c r="C12" s="5"/>
      <c r="D12" s="3">
        <v>0</v>
      </c>
      <c r="E12" s="3">
        <v>0.05</v>
      </c>
    </row>
    <row r="13" spans="1:5" x14ac:dyDescent="0.25">
      <c r="A13" t="s">
        <v>23</v>
      </c>
      <c r="B13" s="5"/>
      <c r="C13" s="5"/>
      <c r="D13" s="3">
        <v>0</v>
      </c>
      <c r="E13" s="3">
        <v>0.05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indice_devolucoes</vt:lpstr>
      <vt:lpstr>on-time-delivery OTD</vt:lpstr>
      <vt:lpstr>custo_funcionario</vt:lpstr>
      <vt:lpstr>roda_por_funcionario</vt:lpstr>
      <vt:lpstr>nc_interno</vt:lpstr>
      <vt:lpstr>absenteismo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Schumann Vieira</dc:creator>
  <cp:lastModifiedBy>Gabriel Schumann Vieira</cp:lastModifiedBy>
  <dcterms:created xsi:type="dcterms:W3CDTF">2015-06-05T18:19:34Z</dcterms:created>
  <dcterms:modified xsi:type="dcterms:W3CDTF">2026-03-25T14:54:32Z</dcterms:modified>
</cp:coreProperties>
</file>